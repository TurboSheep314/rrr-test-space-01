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ss_the_bus/Desktop/Bubble_data/"/>
    </mc:Choice>
  </mc:AlternateContent>
  <xr:revisionPtr revIDLastSave="0" documentId="8_{73349DEC-6A11-8A4C-A1A3-494B250ECE71}" xr6:coauthVersionLast="47" xr6:coauthVersionMax="47" xr10:uidLastSave="{00000000-0000-0000-0000-000000000000}"/>
  <bookViews>
    <workbookView xWindow="13360" yWindow="2780" windowWidth="34560" windowHeight="21580" activeTab="1" xr2:uid="{11A6349F-FCD6-4A46-9216-B6FF8C3D0BBE}"/>
  </bookViews>
  <sheets>
    <sheet name="Buffalo" sheetId="1" r:id="rId1"/>
    <sheet name="Memph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2" l="1"/>
  <c r="AA2" i="2" s="1"/>
  <c r="F29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<sst xmlns="http://schemas.openxmlformats.org/spreadsheetml/2006/main" count="94" uniqueCount="69">
  <si>
    <t>Clarence Center, NY</t>
  </si>
  <si>
    <t>Newton Center</t>
  </si>
  <si>
    <t>Waltham</t>
  </si>
  <si>
    <t>Winchester</t>
  </si>
  <si>
    <t>Newton Highlands</t>
  </si>
  <si>
    <t>Newton Upper Falls</t>
  </si>
  <si>
    <t>West Newton</t>
  </si>
  <si>
    <t>Newton Lower Falls</t>
  </si>
  <si>
    <t>Newton General</t>
  </si>
  <si>
    <t>Ovearll</t>
  </si>
  <si>
    <t>Houseing Affordability</t>
  </si>
  <si>
    <t>Home Price</t>
  </si>
  <si>
    <t>Property Tax</t>
  </si>
  <si>
    <t>Home Appreciation Rate</t>
  </si>
  <si>
    <t>Price Per Sqft</t>
  </si>
  <si>
    <t>Quality of Life</t>
  </si>
  <si>
    <t>Job Market Strength</t>
  </si>
  <si>
    <t>Living Affordability</t>
  </si>
  <si>
    <t xml:space="preserve">Wellesley </t>
  </si>
  <si>
    <t>Weston</t>
  </si>
  <si>
    <t>Education</t>
  </si>
  <si>
    <t>Healthcare &amp; Fitness</t>
  </si>
  <si>
    <t>Weather Grade</t>
  </si>
  <si>
    <t>Air Quality Index</t>
  </si>
  <si>
    <t>Commute/Transit Score</t>
  </si>
  <si>
    <t>Accessibility</t>
  </si>
  <si>
    <t>Culture/Entertainment</t>
  </si>
  <si>
    <t>Unemployment Rate</t>
  </si>
  <si>
    <t>Recent Job Growth</t>
  </si>
  <si>
    <t>Future Job Growth Index</t>
  </si>
  <si>
    <t>State Income Tax</t>
  </si>
  <si>
    <t>Utilities</t>
  </si>
  <si>
    <t>Food/Groceries</t>
  </si>
  <si>
    <t>Sales Tax</t>
  </si>
  <si>
    <t>Transportation Costs</t>
  </si>
  <si>
    <t>Median Household Income ($1,000s)</t>
  </si>
  <si>
    <t>Newton Auburndale</t>
  </si>
  <si>
    <t>Newton Waban</t>
  </si>
  <si>
    <t>Newton Newtonville</t>
  </si>
  <si>
    <t xml:space="preserve">Social </t>
  </si>
  <si>
    <t xml:space="preserve">Political </t>
  </si>
  <si>
    <t>Demographics</t>
  </si>
  <si>
    <t>socio economics</t>
  </si>
  <si>
    <t>work that out</t>
  </si>
  <si>
    <t>Memphis</t>
  </si>
  <si>
    <t>State</t>
  </si>
  <si>
    <t>Town/City</t>
  </si>
  <si>
    <t>Zip</t>
  </si>
  <si>
    <t>Overall Score</t>
  </si>
  <si>
    <t>TN</t>
  </si>
  <si>
    <t>MO</t>
  </si>
  <si>
    <t>Kansas City</t>
  </si>
  <si>
    <t>VT</t>
  </si>
  <si>
    <t>Stowe</t>
  </si>
  <si>
    <t>Burlington</t>
  </si>
  <si>
    <t>CA</t>
  </si>
  <si>
    <t>Escondido</t>
  </si>
  <si>
    <t>IA</t>
  </si>
  <si>
    <t>Cresco</t>
  </si>
  <si>
    <t>ID</t>
  </si>
  <si>
    <t>Boise</t>
  </si>
  <si>
    <t>FL</t>
  </si>
  <si>
    <t>Orlando</t>
  </si>
  <si>
    <t>GA</t>
  </si>
  <si>
    <t>Atlanta</t>
  </si>
  <si>
    <t>TX</t>
  </si>
  <si>
    <t>Austin</t>
  </si>
  <si>
    <t>NM</t>
  </si>
  <si>
    <t>Santa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</si>
</sst>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00000"/>
    <numFmt numFmtId="165" formatCode="0.0"/>
    <numFmt numFmtId="166" formatCode="&quot;$&quot;#,##0"/>
    <numFmt numFmtId="167" formatCode="0.0%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</font>
    <font>
      <b/>
      <sz val="12"/>
      <color rgb="FF000000"/>
      <name val="Helvetica Neue"/>
      <family val="2"/>
    </font>
    <font>
      <b/>
      <sz val="12"/>
      <color theme="1"/>
      <name val="Arial"/>
      <family val="2"/>
    </font>
    <font>
      <sz val="12"/>
      <color theme="1"/>
      <name val="Aptos Narrow"/>
    </font>
    <font>
      <sz val="12"/>
      <color theme="1"/>
      <name val="Arial"/>
      <family val="2"/>
    </font>
    <font>
      <sz val="12"/>
      <color rgb="FF000000"/>
      <name val="Helvetica Neue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  <fill>
      <patternFill patternType="solid">
        <fgColor rgb="FFC1F0C8"/>
        <bgColor rgb="FFC1F0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0" xfId="0" applyNumberFormat="1"/>
    <xf numFmtId="10" fontId="0" fillId="0" borderId="0" xfId="0" applyNumberFormat="1"/>
    <xf numFmtId="8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/>
    <xf numFmtId="0" fontId="3" fillId="0" borderId="0" xfId="0" applyFont="1"/>
    <xf numFmtId="165" fontId="4" fillId="0" borderId="0" xfId="0" applyNumberFormat="1" applyFont="1"/>
    <xf numFmtId="0" fontId="3" fillId="6" borderId="0" xfId="0" applyFont="1" applyFill="1"/>
    <xf numFmtId="164" fontId="3" fillId="6" borderId="0" xfId="0" applyNumberFormat="1" applyFont="1" applyFill="1"/>
    <xf numFmtId="0" fontId="3" fillId="7" borderId="0" xfId="0" applyFont="1" applyFill="1" applyAlignment="1">
      <alignment horizontal="center"/>
    </xf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165" fontId="1" fillId="0" borderId="0" xfId="0" applyNumberFormat="1" applyFont="1"/>
    <xf numFmtId="0" fontId="5" fillId="0" borderId="0" xfId="0" applyFont="1"/>
    <xf numFmtId="164" fontId="3" fillId="0" borderId="0" xfId="0" applyNumberFormat="1" applyFont="1"/>
    <xf numFmtId="0" fontId="1" fillId="0" borderId="0" xfId="0" applyFont="1" applyAlignment="1">
      <alignment horizontal="center"/>
    </xf>
    <xf numFmtId="166" fontId="5" fillId="0" borderId="0" xfId="0" applyNumberFormat="1" applyFont="1"/>
    <xf numFmtId="10" fontId="5" fillId="0" borderId="0" xfId="0" applyNumberFormat="1" applyFont="1"/>
    <xf numFmtId="167" fontId="5" fillId="0" borderId="0" xfId="0" applyNumberFormat="1" applyFont="1"/>
    <xf numFmtId="8" fontId="5" fillId="0" borderId="0" xfId="0" applyNumberFormat="1" applyFont="1"/>
    <xf numFmtId="10" fontId="4" fillId="0" borderId="0" xfId="0" applyNumberFormat="1" applyFont="1"/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001C-FB55-3A44-8A96-345E3CAE32C0}">
  <dimension ref="A1:AA29"/>
  <sheetViews>
    <sheetView topLeftCell="A2" workbookViewId="0">
      <selection activeCell="C48" sqref="C48"/>
    </sheetView>
  </sheetViews>
  <sheetFormatPr baseColWidth="10" defaultRowHeight="16" x14ac:dyDescent="0.2"/>
  <cols>
    <col min="2" max="2" width="18" bestFit="1" customWidth="1"/>
    <col min="5" max="5" width="10.5" bestFit="1" customWidth="1"/>
    <col min="6" max="6" width="11" bestFit="1" customWidth="1"/>
    <col min="7" max="7" width="21" bestFit="1" customWidth="1"/>
    <col min="8" max="8" width="11.83203125" bestFit="1" customWidth="1"/>
    <col min="9" max="9" width="9.33203125" bestFit="1" customWidth="1"/>
    <col min="10" max="10" width="18.1640625" bestFit="1" customWidth="1"/>
    <col min="11" max="11" width="13.5" bestFit="1" customWidth="1"/>
    <col min="12" max="12" width="14.1640625" bestFit="1" customWidth="1"/>
    <col min="13" max="13" width="20.5" bestFit="1" customWidth="1"/>
    <col min="14" max="14" width="11.33203125" bestFit="1" customWidth="1"/>
    <col min="15" max="15" width="19.83203125" bestFit="1" customWidth="1"/>
    <col min="16" max="16" width="17.6640625" bestFit="1" customWidth="1"/>
    <col min="17" max="17" width="16.5" bestFit="1" customWidth="1"/>
    <col min="18" max="18" width="20.6640625" bestFit="1" customWidth="1"/>
    <col min="19" max="19" width="31" bestFit="1" customWidth="1"/>
    <col min="20" max="20" width="14.83203125" bestFit="1" customWidth="1"/>
    <col min="21" max="21" width="7.5" bestFit="1" customWidth="1"/>
    <col min="22" max="22" width="13.83203125" bestFit="1" customWidth="1"/>
    <col min="23" max="23" width="8.5" bestFit="1" customWidth="1"/>
    <col min="24" max="24" width="18.1640625" bestFit="1" customWidth="1"/>
    <col min="25" max="25" width="6.5" bestFit="1" customWidth="1"/>
    <col min="27" max="27" width="14.6640625" bestFit="1" customWidth="1"/>
  </cols>
  <sheetData>
    <row r="1" spans="1:27" x14ac:dyDescent="0.2">
      <c r="E1" s="8" t="s">
        <v>10</v>
      </c>
      <c r="F1" s="8"/>
      <c r="G1" s="8"/>
      <c r="H1" s="8"/>
      <c r="I1" s="11" t="s">
        <v>15</v>
      </c>
      <c r="J1" s="11"/>
      <c r="K1" s="11"/>
      <c r="L1" s="11"/>
      <c r="M1" s="11"/>
      <c r="N1" s="11"/>
      <c r="O1" s="11"/>
      <c r="P1" s="10" t="s">
        <v>16</v>
      </c>
      <c r="Q1" s="10"/>
      <c r="R1" s="10"/>
      <c r="S1" s="10"/>
      <c r="T1" s="9" t="s">
        <v>17</v>
      </c>
      <c r="U1" s="9"/>
      <c r="V1" s="9"/>
      <c r="W1" s="9"/>
      <c r="X1" s="9"/>
      <c r="Y1" t="s">
        <v>39</v>
      </c>
      <c r="Z1" t="s">
        <v>40</v>
      </c>
      <c r="AA1" t="s">
        <v>41</v>
      </c>
    </row>
    <row r="2" spans="1:27" x14ac:dyDescent="0.2">
      <c r="D2" t="s">
        <v>9</v>
      </c>
      <c r="E2" s="4" t="s">
        <v>11</v>
      </c>
      <c r="F2" s="4" t="s">
        <v>12</v>
      </c>
      <c r="G2" s="4" t="s">
        <v>13</v>
      </c>
      <c r="H2" s="4" t="s">
        <v>14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  <c r="P2" s="6" t="s">
        <v>27</v>
      </c>
      <c r="Q2" s="6" t="s">
        <v>28</v>
      </c>
      <c r="R2" s="6" t="s">
        <v>29</v>
      </c>
      <c r="S2" s="6" t="s">
        <v>35</v>
      </c>
      <c r="T2" s="7" t="s">
        <v>30</v>
      </c>
      <c r="U2" s="7" t="s">
        <v>31</v>
      </c>
      <c r="V2" s="7" t="s">
        <v>32</v>
      </c>
      <c r="W2" s="7" t="s">
        <v>33</v>
      </c>
      <c r="X2" s="7" t="s">
        <v>34</v>
      </c>
      <c r="AA2" s="7" t="s">
        <v>42</v>
      </c>
    </row>
    <row r="3" spans="1:27" x14ac:dyDescent="0.2">
      <c r="B3" t="s">
        <v>0</v>
      </c>
      <c r="C3" s="1">
        <v>14032</v>
      </c>
      <c r="E3">
        <v>505400</v>
      </c>
      <c r="F3" s="2">
        <v>2.2200000000000001E-2</v>
      </c>
      <c r="G3" s="2">
        <v>4.2000000000000003E-2</v>
      </c>
      <c r="H3" s="3">
        <v>220.38</v>
      </c>
      <c r="I3">
        <v>75</v>
      </c>
      <c r="J3">
        <v>65</v>
      </c>
      <c r="K3">
        <v>63</v>
      </c>
      <c r="L3">
        <v>74</v>
      </c>
      <c r="M3">
        <v>57</v>
      </c>
      <c r="N3">
        <v>24</v>
      </c>
      <c r="O3">
        <v>14</v>
      </c>
      <c r="P3" s="2">
        <v>3.9E-2</v>
      </c>
      <c r="Q3" s="2">
        <v>2.0799999999999999E-2</v>
      </c>
      <c r="R3">
        <v>52</v>
      </c>
      <c r="S3" s="3">
        <v>146.66999999999999</v>
      </c>
      <c r="T3" s="2">
        <v>5.5E-2</v>
      </c>
      <c r="U3">
        <v>37</v>
      </c>
      <c r="V3">
        <v>59</v>
      </c>
      <c r="W3" s="2">
        <v>8.7499999999999994E-2</v>
      </c>
      <c r="X3">
        <v>55</v>
      </c>
    </row>
    <row r="5" spans="1:27" x14ac:dyDescent="0.2">
      <c r="A5">
        <v>1</v>
      </c>
      <c r="B5" t="s">
        <v>1</v>
      </c>
      <c r="C5" s="1">
        <v>2459</v>
      </c>
      <c r="D5">
        <v>85</v>
      </c>
      <c r="E5">
        <v>1650000</v>
      </c>
      <c r="F5" s="2">
        <v>1.0800000000000001E-2</v>
      </c>
      <c r="G5" s="2">
        <v>0.124</v>
      </c>
      <c r="H5" s="3">
        <v>624.32000000000005</v>
      </c>
      <c r="I5">
        <v>96</v>
      </c>
      <c r="J5">
        <v>92</v>
      </c>
      <c r="K5">
        <v>61</v>
      </c>
      <c r="L5">
        <v>68</v>
      </c>
      <c r="M5">
        <v>70</v>
      </c>
      <c r="N5">
        <v>45</v>
      </c>
      <c r="O5">
        <v>35</v>
      </c>
      <c r="P5" s="2">
        <v>2.5000000000000001E-2</v>
      </c>
      <c r="Q5" s="2">
        <v>8.6E-3</v>
      </c>
      <c r="R5">
        <v>75</v>
      </c>
      <c r="S5" s="3">
        <v>210.79</v>
      </c>
      <c r="T5" s="2">
        <v>0.05</v>
      </c>
      <c r="U5">
        <v>46</v>
      </c>
      <c r="V5">
        <v>88</v>
      </c>
      <c r="W5" s="2">
        <v>6.25E-2</v>
      </c>
      <c r="X5">
        <v>63</v>
      </c>
    </row>
    <row r="6" spans="1:27" x14ac:dyDescent="0.2">
      <c r="A6">
        <f>A5+1</f>
        <v>2</v>
      </c>
      <c r="B6" t="s">
        <v>2</v>
      </c>
      <c r="C6" s="1">
        <v>2451</v>
      </c>
      <c r="D6">
        <v>83</v>
      </c>
      <c r="E6">
        <v>680100</v>
      </c>
      <c r="F6" s="2">
        <v>1.0800000000000001E-2</v>
      </c>
      <c r="G6" s="2">
        <v>7.8E-2</v>
      </c>
      <c r="H6" s="3">
        <v>352.42</v>
      </c>
      <c r="I6">
        <v>81</v>
      </c>
      <c r="J6">
        <v>77</v>
      </c>
      <c r="K6">
        <v>59</v>
      </c>
      <c r="L6">
        <v>67</v>
      </c>
      <c r="M6">
        <v>63</v>
      </c>
      <c r="N6">
        <v>54</v>
      </c>
      <c r="O6">
        <v>38</v>
      </c>
      <c r="P6" s="2">
        <v>2.5000000000000001E-2</v>
      </c>
      <c r="Q6" s="2">
        <v>8.6E-3</v>
      </c>
      <c r="R6">
        <v>74</v>
      </c>
      <c r="S6" s="3">
        <v>117.93</v>
      </c>
      <c r="T6" s="2">
        <v>0.05</v>
      </c>
      <c r="U6">
        <v>50</v>
      </c>
      <c r="V6">
        <v>68</v>
      </c>
      <c r="W6" s="2">
        <v>6.25E-2</v>
      </c>
      <c r="X6">
        <v>54</v>
      </c>
    </row>
    <row r="7" spans="1:27" x14ac:dyDescent="0.2">
      <c r="A7">
        <f t="shared" ref="A7:A21" si="0">A6+1</f>
        <v>3</v>
      </c>
      <c r="B7" t="s">
        <v>2</v>
      </c>
      <c r="C7" s="1">
        <v>2452</v>
      </c>
      <c r="D7">
        <v>81</v>
      </c>
      <c r="E7">
        <v>788400</v>
      </c>
      <c r="F7" s="2">
        <v>1.0800000000000001E-2</v>
      </c>
      <c r="G7" s="2">
        <v>7.1999999999999995E-2</v>
      </c>
      <c r="H7" s="3">
        <v>402.76</v>
      </c>
      <c r="I7">
        <v>83</v>
      </c>
      <c r="J7">
        <v>77</v>
      </c>
      <c r="K7">
        <v>60</v>
      </c>
      <c r="L7">
        <v>68</v>
      </c>
      <c r="M7">
        <v>59</v>
      </c>
      <c r="N7">
        <v>36</v>
      </c>
      <c r="O7">
        <v>33</v>
      </c>
      <c r="P7" s="2">
        <v>2.5000000000000001E-2</v>
      </c>
      <c r="Q7" s="2">
        <v>8.6E-3</v>
      </c>
      <c r="R7">
        <v>74</v>
      </c>
      <c r="S7" s="3">
        <v>106.67</v>
      </c>
      <c r="T7" s="2">
        <v>0.05</v>
      </c>
      <c r="U7">
        <v>51</v>
      </c>
      <c r="V7">
        <v>73</v>
      </c>
      <c r="W7" s="2">
        <v>6.25E-2</v>
      </c>
      <c r="X7">
        <v>54</v>
      </c>
    </row>
    <row r="8" spans="1:27" x14ac:dyDescent="0.2">
      <c r="A8">
        <f t="shared" si="0"/>
        <v>4</v>
      </c>
      <c r="B8" t="s">
        <v>2</v>
      </c>
      <c r="C8" s="1">
        <v>2453</v>
      </c>
      <c r="D8">
        <v>87</v>
      </c>
      <c r="E8">
        <v>703500</v>
      </c>
      <c r="F8" s="2">
        <v>1.0800000000000001E-2</v>
      </c>
      <c r="G8" s="2">
        <v>0.08</v>
      </c>
      <c r="H8" s="3">
        <v>350.02</v>
      </c>
      <c r="I8">
        <v>80</v>
      </c>
      <c r="J8">
        <v>77</v>
      </c>
      <c r="K8">
        <v>60</v>
      </c>
      <c r="L8">
        <v>63</v>
      </c>
      <c r="M8">
        <v>69</v>
      </c>
      <c r="N8">
        <v>60</v>
      </c>
      <c r="O8">
        <v>66</v>
      </c>
      <c r="P8" s="2">
        <v>2.5000000000000001E-2</v>
      </c>
      <c r="Q8" s="2">
        <v>8.6E-3</v>
      </c>
      <c r="R8">
        <v>80</v>
      </c>
      <c r="S8" s="3">
        <v>111.29</v>
      </c>
      <c r="T8" s="2">
        <v>0.05</v>
      </c>
      <c r="U8">
        <v>48</v>
      </c>
      <c r="V8">
        <v>66</v>
      </c>
      <c r="W8" s="2">
        <v>6.25E-2</v>
      </c>
      <c r="X8">
        <v>52</v>
      </c>
    </row>
    <row r="9" spans="1:27" x14ac:dyDescent="0.2">
      <c r="A9">
        <f t="shared" si="0"/>
        <v>5</v>
      </c>
      <c r="B9" t="s">
        <v>3</v>
      </c>
      <c r="C9" s="1">
        <v>1890</v>
      </c>
      <c r="D9">
        <v>84</v>
      </c>
      <c r="E9">
        <v>1480000</v>
      </c>
      <c r="F9" s="2">
        <v>1.0800000000000001E-2</v>
      </c>
      <c r="G9" s="2">
        <v>9.3000000000000013E-2</v>
      </c>
      <c r="H9" s="3">
        <v>545.66999999999996</v>
      </c>
      <c r="I9">
        <v>96</v>
      </c>
      <c r="J9">
        <v>81</v>
      </c>
      <c r="K9">
        <v>59</v>
      </c>
      <c r="L9">
        <v>67</v>
      </c>
      <c r="M9">
        <v>68</v>
      </c>
      <c r="N9">
        <v>44</v>
      </c>
      <c r="O9">
        <v>36</v>
      </c>
      <c r="P9" s="2">
        <v>2.5000000000000001E-2</v>
      </c>
      <c r="Q9" s="2">
        <v>8.6E-3</v>
      </c>
      <c r="R9">
        <v>79</v>
      </c>
      <c r="S9" s="3">
        <v>208.53</v>
      </c>
      <c r="T9" s="2">
        <v>0.05</v>
      </c>
      <c r="U9">
        <v>42</v>
      </c>
      <c r="V9">
        <v>77</v>
      </c>
      <c r="W9" s="2">
        <v>6.25E-2</v>
      </c>
      <c r="X9">
        <v>61</v>
      </c>
    </row>
    <row r="10" spans="1:27" x14ac:dyDescent="0.2">
      <c r="A10">
        <f t="shared" si="0"/>
        <v>6</v>
      </c>
      <c r="B10" t="s">
        <v>4</v>
      </c>
      <c r="C10" s="1">
        <v>2461</v>
      </c>
      <c r="D10">
        <v>84</v>
      </c>
      <c r="E10">
        <v>1320000</v>
      </c>
      <c r="F10" s="2">
        <v>1.0800000000000001E-2</v>
      </c>
      <c r="G10" s="2">
        <v>0.12</v>
      </c>
      <c r="H10" s="3">
        <v>580.05999999999995</v>
      </c>
      <c r="I10">
        <v>96</v>
      </c>
      <c r="J10">
        <v>80</v>
      </c>
      <c r="K10">
        <v>60</v>
      </c>
      <c r="L10">
        <v>65</v>
      </c>
      <c r="M10">
        <v>79</v>
      </c>
      <c r="N10">
        <v>35</v>
      </c>
      <c r="O10">
        <v>22</v>
      </c>
      <c r="P10" s="2">
        <v>2.5000000000000001E-2</v>
      </c>
      <c r="Q10" s="2">
        <v>8.6E-3</v>
      </c>
      <c r="R10">
        <v>82</v>
      </c>
      <c r="S10" s="3">
        <v>191.71</v>
      </c>
      <c r="T10" s="2">
        <v>0.05</v>
      </c>
      <c r="U10">
        <v>50</v>
      </c>
      <c r="V10">
        <v>83</v>
      </c>
      <c r="W10" s="2">
        <v>6.25E-2</v>
      </c>
      <c r="X10">
        <v>66</v>
      </c>
    </row>
    <row r="11" spans="1:27" x14ac:dyDescent="0.2">
      <c r="A11">
        <f t="shared" si="0"/>
        <v>7</v>
      </c>
      <c r="B11" t="s">
        <v>5</v>
      </c>
      <c r="C11" s="1">
        <v>2464</v>
      </c>
      <c r="D11">
        <v>81</v>
      </c>
      <c r="E11">
        <v>895200</v>
      </c>
      <c r="F11" s="2">
        <v>1.0800000000000001E-2</v>
      </c>
      <c r="G11" s="2">
        <v>7.5999999999999998E-2</v>
      </c>
      <c r="H11" s="3">
        <v>203.66</v>
      </c>
      <c r="I11">
        <v>91</v>
      </c>
      <c r="J11">
        <v>75</v>
      </c>
      <c r="K11">
        <v>60</v>
      </c>
      <c r="L11">
        <v>65</v>
      </c>
      <c r="M11">
        <v>70</v>
      </c>
      <c r="N11">
        <v>34</v>
      </c>
      <c r="O11">
        <v>22</v>
      </c>
      <c r="P11" s="2">
        <v>2.5000000000000001E-2</v>
      </c>
      <c r="Q11" s="2">
        <v>8.6E-3</v>
      </c>
      <c r="R11">
        <v>71</v>
      </c>
      <c r="S11" s="3">
        <v>126.35</v>
      </c>
      <c r="T11" s="2">
        <v>0.05</v>
      </c>
      <c r="U11">
        <v>42</v>
      </c>
      <c r="V11">
        <v>72</v>
      </c>
      <c r="W11" s="2">
        <v>6.25E-2</v>
      </c>
      <c r="X11">
        <v>66</v>
      </c>
    </row>
    <row r="12" spans="1:27" x14ac:dyDescent="0.2">
      <c r="A12">
        <f t="shared" si="0"/>
        <v>8</v>
      </c>
      <c r="B12" t="s">
        <v>38</v>
      </c>
      <c r="C12" s="1">
        <v>2460</v>
      </c>
      <c r="D12">
        <v>81</v>
      </c>
      <c r="E12">
        <v>1150000</v>
      </c>
      <c r="F12" s="2">
        <v>1.0800000000000001E-2</v>
      </c>
      <c r="G12" s="2">
        <v>8.3000000000000004E-2</v>
      </c>
      <c r="H12" s="3">
        <v>436.07</v>
      </c>
      <c r="I12">
        <v>96</v>
      </c>
      <c r="J12">
        <v>76</v>
      </c>
      <c r="K12">
        <v>62</v>
      </c>
      <c r="L12">
        <v>65</v>
      </c>
      <c r="M12">
        <v>69</v>
      </c>
      <c r="N12">
        <v>35</v>
      </c>
      <c r="O12">
        <v>21</v>
      </c>
      <c r="P12" s="2">
        <v>2.5000000000000001E-2</v>
      </c>
      <c r="Q12" s="2">
        <v>8.6E-3</v>
      </c>
      <c r="R12">
        <v>73</v>
      </c>
      <c r="S12" s="3">
        <v>149</v>
      </c>
      <c r="T12" s="2">
        <v>0.05</v>
      </c>
      <c r="U12">
        <v>46</v>
      </c>
      <c r="V12">
        <v>79</v>
      </c>
      <c r="W12" s="2">
        <v>6.25E-2</v>
      </c>
      <c r="X12">
        <v>58</v>
      </c>
    </row>
    <row r="13" spans="1:27" x14ac:dyDescent="0.2">
      <c r="A13">
        <f t="shared" si="0"/>
        <v>9</v>
      </c>
      <c r="B13" t="s">
        <v>6</v>
      </c>
      <c r="C13" s="1">
        <v>2465</v>
      </c>
      <c r="D13">
        <v>82</v>
      </c>
      <c r="E13">
        <v>1250000</v>
      </c>
      <c r="F13" s="2">
        <v>9.1999999999999998E-3</v>
      </c>
      <c r="G13" s="2">
        <v>9.1999999999999998E-2</v>
      </c>
      <c r="H13" s="3">
        <v>506.85</v>
      </c>
      <c r="I13">
        <v>96</v>
      </c>
      <c r="J13">
        <v>76</v>
      </c>
      <c r="K13">
        <v>61</v>
      </c>
      <c r="L13">
        <v>61</v>
      </c>
      <c r="M13">
        <v>67</v>
      </c>
      <c r="N13">
        <v>31</v>
      </c>
      <c r="O13">
        <v>20</v>
      </c>
      <c r="P13" s="2">
        <v>2.5000000000000001E-2</v>
      </c>
      <c r="Q13" s="2">
        <v>8.6E-3</v>
      </c>
      <c r="R13">
        <v>82</v>
      </c>
      <c r="S13" s="3">
        <v>178.33</v>
      </c>
      <c r="T13" s="2">
        <v>0.05</v>
      </c>
      <c r="U13">
        <v>47</v>
      </c>
      <c r="V13">
        <v>84</v>
      </c>
      <c r="W13" s="2">
        <v>6.25E-2</v>
      </c>
      <c r="X13">
        <v>58</v>
      </c>
    </row>
    <row r="14" spans="1:27" x14ac:dyDescent="0.2">
      <c r="A14">
        <f t="shared" si="0"/>
        <v>10</v>
      </c>
      <c r="B14" t="s">
        <v>36</v>
      </c>
      <c r="C14" s="1">
        <v>2466</v>
      </c>
      <c r="D14">
        <v>81</v>
      </c>
      <c r="E14">
        <v>1170000</v>
      </c>
      <c r="F14" s="2">
        <v>1.0800000000000001E-2</v>
      </c>
      <c r="G14" s="2">
        <v>0.10400000000000001</v>
      </c>
      <c r="H14" s="3">
        <v>410.57</v>
      </c>
      <c r="I14">
        <v>96</v>
      </c>
      <c r="J14">
        <v>78</v>
      </c>
      <c r="K14">
        <v>59</v>
      </c>
      <c r="L14">
        <v>60</v>
      </c>
      <c r="M14">
        <v>72</v>
      </c>
      <c r="N14">
        <v>32</v>
      </c>
      <c r="O14">
        <v>19</v>
      </c>
      <c r="P14" s="2">
        <v>2.5000000000000001E-2</v>
      </c>
      <c r="Q14" s="2">
        <v>8.6E-3</v>
      </c>
      <c r="R14">
        <v>72</v>
      </c>
      <c r="S14" s="3">
        <v>144.93</v>
      </c>
      <c r="T14" s="2">
        <v>0.05</v>
      </c>
      <c r="U14">
        <v>49</v>
      </c>
      <c r="V14">
        <v>80</v>
      </c>
      <c r="W14" s="2">
        <v>6.25E-2</v>
      </c>
      <c r="X14">
        <v>51</v>
      </c>
    </row>
    <row r="15" spans="1:27" x14ac:dyDescent="0.2">
      <c r="A15">
        <f t="shared" si="0"/>
        <v>11</v>
      </c>
      <c r="B15" t="s">
        <v>7</v>
      </c>
      <c r="C15" s="1">
        <v>2462</v>
      </c>
      <c r="D15">
        <v>81</v>
      </c>
      <c r="E15">
        <v>1320000</v>
      </c>
      <c r="F15" s="2">
        <v>1.0800000000000001E-2</v>
      </c>
      <c r="G15" s="2">
        <v>0.153</v>
      </c>
      <c r="H15" s="3">
        <v>705.81</v>
      </c>
      <c r="I15">
        <v>96</v>
      </c>
      <c r="J15">
        <v>74</v>
      </c>
      <c r="K15">
        <v>57</v>
      </c>
      <c r="L15">
        <v>62</v>
      </c>
      <c r="M15">
        <v>71</v>
      </c>
      <c r="N15">
        <v>22</v>
      </c>
      <c r="O15">
        <v>12</v>
      </c>
      <c r="P15" s="2">
        <v>2.5000000000000001E-2</v>
      </c>
      <c r="Q15" s="2">
        <v>8.6E-3</v>
      </c>
      <c r="R15">
        <v>81</v>
      </c>
      <c r="S15" s="3">
        <v>136.38</v>
      </c>
      <c r="T15" s="2">
        <v>0.05</v>
      </c>
      <c r="U15">
        <v>45</v>
      </c>
      <c r="V15">
        <v>73</v>
      </c>
      <c r="W15" s="2">
        <v>6.25E-2</v>
      </c>
      <c r="X15">
        <v>54</v>
      </c>
    </row>
    <row r="16" spans="1:27" x14ac:dyDescent="0.2">
      <c r="A16">
        <f t="shared" si="0"/>
        <v>12</v>
      </c>
      <c r="B16" t="s">
        <v>37</v>
      </c>
      <c r="C16" s="1">
        <v>2468</v>
      </c>
      <c r="D16">
        <v>81</v>
      </c>
      <c r="E16">
        <v>1850000</v>
      </c>
      <c r="F16" s="2">
        <v>1.0800000000000001E-2</v>
      </c>
      <c r="G16" s="2">
        <v>0.11199999999999999</v>
      </c>
      <c r="H16" s="3">
        <v>591.79</v>
      </c>
      <c r="I16">
        <v>96</v>
      </c>
      <c r="J16">
        <v>81</v>
      </c>
      <c r="K16">
        <v>60</v>
      </c>
      <c r="L16">
        <v>65</v>
      </c>
      <c r="M16">
        <v>70</v>
      </c>
      <c r="N16">
        <v>24</v>
      </c>
      <c r="O16">
        <v>13</v>
      </c>
      <c r="P16" s="2">
        <v>2.5000000000000001E-2</v>
      </c>
      <c r="Q16" s="2">
        <v>8.6E-3</v>
      </c>
      <c r="R16">
        <v>80</v>
      </c>
      <c r="S16" s="3">
        <v>250</v>
      </c>
      <c r="T16" s="2">
        <v>0.05</v>
      </c>
      <c r="U16">
        <v>45</v>
      </c>
      <c r="V16">
        <v>90</v>
      </c>
      <c r="W16" s="2">
        <v>6.25E-2</v>
      </c>
      <c r="X16">
        <v>62</v>
      </c>
    </row>
    <row r="17" spans="1:24" x14ac:dyDescent="0.2">
      <c r="A17">
        <f t="shared" si="0"/>
        <v>13</v>
      </c>
      <c r="B17" t="s">
        <v>8</v>
      </c>
      <c r="C17" s="1">
        <v>2458</v>
      </c>
      <c r="D17">
        <v>83</v>
      </c>
      <c r="E17">
        <v>1190000</v>
      </c>
      <c r="F17" s="2">
        <v>9.5999999999999992E-3</v>
      </c>
      <c r="G17" s="2">
        <v>5.5999999999999994E-2</v>
      </c>
      <c r="H17" s="3">
        <v>490.58</v>
      </c>
      <c r="I17">
        <v>96</v>
      </c>
      <c r="J17">
        <v>86</v>
      </c>
      <c r="K17">
        <v>60</v>
      </c>
      <c r="L17">
        <v>61</v>
      </c>
      <c r="M17">
        <v>65</v>
      </c>
      <c r="N17">
        <v>39</v>
      </c>
      <c r="O17">
        <v>33</v>
      </c>
      <c r="P17" s="2">
        <v>2.5000000000000001E-2</v>
      </c>
      <c r="Q17" s="2">
        <v>8.6E-3</v>
      </c>
      <c r="R17">
        <v>78</v>
      </c>
      <c r="S17" s="3">
        <v>133.94</v>
      </c>
      <c r="T17" s="2">
        <v>0.05</v>
      </c>
      <c r="U17">
        <v>48</v>
      </c>
      <c r="V17">
        <v>75</v>
      </c>
      <c r="W17" s="2">
        <v>6.25E-2</v>
      </c>
      <c r="X17">
        <v>53</v>
      </c>
    </row>
    <row r="18" spans="1:24" x14ac:dyDescent="0.2">
      <c r="A18">
        <f t="shared" si="0"/>
        <v>14</v>
      </c>
      <c r="B18" t="s">
        <v>18</v>
      </c>
      <c r="C18" s="1">
        <v>2457</v>
      </c>
      <c r="D18">
        <v>75</v>
      </c>
      <c r="E18">
        <v>802900</v>
      </c>
      <c r="F18" s="2">
        <v>1.1200000000000002E-2</v>
      </c>
      <c r="G18" s="2">
        <v>6.9000000000000006E-2</v>
      </c>
      <c r="H18" s="3">
        <v>252.08</v>
      </c>
      <c r="I18">
        <v>81</v>
      </c>
      <c r="J18">
        <v>65</v>
      </c>
      <c r="K18">
        <v>57</v>
      </c>
      <c r="L18">
        <v>69</v>
      </c>
      <c r="M18">
        <v>44</v>
      </c>
      <c r="N18">
        <v>22</v>
      </c>
      <c r="O18">
        <v>12</v>
      </c>
      <c r="P18" s="2">
        <v>2.5999999999999999E-2</v>
      </c>
      <c r="Q18" s="2">
        <v>9.1000000000000004E-3</v>
      </c>
      <c r="R18">
        <v>71</v>
      </c>
      <c r="S18" s="3">
        <v>120.62</v>
      </c>
      <c r="T18" s="2">
        <v>0.05</v>
      </c>
      <c r="U18">
        <v>39</v>
      </c>
      <c r="V18">
        <v>65</v>
      </c>
      <c r="W18" s="2">
        <v>6.25E-2</v>
      </c>
      <c r="X18">
        <v>81</v>
      </c>
    </row>
    <row r="19" spans="1:24" x14ac:dyDescent="0.2">
      <c r="A19">
        <f t="shared" si="0"/>
        <v>15</v>
      </c>
      <c r="B19" t="s">
        <v>18</v>
      </c>
      <c r="C19" s="1">
        <v>2481</v>
      </c>
      <c r="D19">
        <v>80</v>
      </c>
      <c r="E19">
        <v>1840000</v>
      </c>
      <c r="F19" s="2">
        <v>1.1200000000000002E-2</v>
      </c>
      <c r="G19" s="2">
        <v>8.3000000000000004E-2</v>
      </c>
      <c r="H19" s="3">
        <v>568.53</v>
      </c>
      <c r="I19">
        <v>95</v>
      </c>
      <c r="J19">
        <v>77</v>
      </c>
      <c r="K19">
        <v>58</v>
      </c>
      <c r="L19">
        <v>67</v>
      </c>
      <c r="M19">
        <v>55</v>
      </c>
      <c r="N19">
        <v>40</v>
      </c>
      <c r="O19">
        <v>32</v>
      </c>
      <c r="P19" s="2">
        <v>2.5999999999999999E-2</v>
      </c>
      <c r="Q19" s="2">
        <v>9.1000000000000004E-3</v>
      </c>
      <c r="R19">
        <v>76</v>
      </c>
      <c r="S19" s="3">
        <v>250</v>
      </c>
      <c r="T19" s="2">
        <v>0.05</v>
      </c>
      <c r="U19">
        <v>43</v>
      </c>
      <c r="V19">
        <v>90</v>
      </c>
      <c r="W19" s="2">
        <v>6.25E-2</v>
      </c>
      <c r="X19">
        <v>75</v>
      </c>
    </row>
    <row r="20" spans="1:24" x14ac:dyDescent="0.2">
      <c r="A20">
        <f t="shared" si="0"/>
        <v>16</v>
      </c>
      <c r="B20" t="s">
        <v>18</v>
      </c>
      <c r="C20" s="1">
        <v>2482</v>
      </c>
      <c r="D20">
        <v>81</v>
      </c>
      <c r="E20">
        <v>1470000</v>
      </c>
      <c r="F20" s="2">
        <v>1.1200000000000002E-2</v>
      </c>
      <c r="G20" s="2">
        <v>9.6000000000000002E-2</v>
      </c>
      <c r="H20" s="3">
        <v>618.82000000000005</v>
      </c>
      <c r="I20">
        <v>95</v>
      </c>
      <c r="J20">
        <v>72</v>
      </c>
      <c r="K20">
        <v>58</v>
      </c>
      <c r="L20">
        <v>68</v>
      </c>
      <c r="M20">
        <v>55</v>
      </c>
      <c r="N20">
        <v>45</v>
      </c>
      <c r="O20">
        <v>32</v>
      </c>
      <c r="P20" s="2">
        <v>2.5999999999999999E-2</v>
      </c>
      <c r="Q20" s="2">
        <v>9.1000000000000004E-3</v>
      </c>
      <c r="R20">
        <v>73</v>
      </c>
      <c r="S20" s="3">
        <v>230.63</v>
      </c>
      <c r="T20" s="2">
        <v>0.05</v>
      </c>
      <c r="U20">
        <v>44</v>
      </c>
      <c r="V20">
        <v>80</v>
      </c>
      <c r="W20" s="2">
        <v>6.25E-2</v>
      </c>
      <c r="X20">
        <v>77</v>
      </c>
    </row>
    <row r="21" spans="1:24" x14ac:dyDescent="0.2">
      <c r="A21">
        <f t="shared" si="0"/>
        <v>17</v>
      </c>
      <c r="B21" t="s">
        <v>19</v>
      </c>
      <c r="C21" s="1">
        <v>2493</v>
      </c>
      <c r="D21">
        <v>80</v>
      </c>
      <c r="E21">
        <v>2190000</v>
      </c>
      <c r="F21" s="2">
        <v>1.0800000000000001E-2</v>
      </c>
      <c r="G21" s="2">
        <v>0.10099999999999999</v>
      </c>
      <c r="H21" s="3">
        <v>611.70000000000005</v>
      </c>
      <c r="I21">
        <v>96</v>
      </c>
      <c r="J21">
        <v>74</v>
      </c>
      <c r="K21">
        <v>59</v>
      </c>
      <c r="L21">
        <v>71</v>
      </c>
      <c r="M21">
        <v>63</v>
      </c>
      <c r="N21">
        <v>27</v>
      </c>
      <c r="O21">
        <v>27</v>
      </c>
      <c r="P21" s="2">
        <v>2.5000000000000001E-2</v>
      </c>
      <c r="Q21" s="2">
        <v>8.6E-3</v>
      </c>
      <c r="R21">
        <v>79</v>
      </c>
      <c r="S21" s="3">
        <v>250</v>
      </c>
      <c r="T21" s="2">
        <v>0.05</v>
      </c>
      <c r="U21">
        <v>44</v>
      </c>
      <c r="V21">
        <v>92</v>
      </c>
      <c r="W21" s="2">
        <v>6.25E-2</v>
      </c>
      <c r="X21">
        <v>60</v>
      </c>
    </row>
    <row r="29" spans="1:24" x14ac:dyDescent="0.2">
      <c r="F29">
        <f>AVERAGE(I5:O5,R5,U5,V5,X5)</f>
        <v>67.181818181818187</v>
      </c>
      <c r="G29" t="s">
        <v>43</v>
      </c>
    </row>
  </sheetData>
  <mergeCells count="4">
    <mergeCell ref="E1:H1"/>
    <mergeCell ref="T1:X1"/>
    <mergeCell ref="P1:S1"/>
    <mergeCell ref="I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D033-37A7-9743-933F-65D315ECFE79}">
  <dimension ref="A1:AC12"/>
  <sheetViews>
    <sheetView tabSelected="1" workbookViewId="0">
      <selection activeCell="E22" sqref="E22"/>
    </sheetView>
  </sheetViews>
  <sheetFormatPr baseColWidth="10" defaultRowHeight="16" x14ac:dyDescent="0.2"/>
  <cols>
    <col min="3" max="3" width="12" bestFit="1" customWidth="1"/>
  </cols>
  <sheetData>
    <row r="1" spans="1:29" x14ac:dyDescent="0.2">
      <c r="A1" s="15" t="s">
        <v>45</v>
      </c>
      <c r="B1" s="15"/>
      <c r="C1" s="15" t="s">
        <v>46</v>
      </c>
      <c r="D1" s="16" t="s">
        <v>47</v>
      </c>
      <c r="E1" s="17" t="s">
        <v>48</v>
      </c>
      <c r="F1" s="18" t="s">
        <v>11</v>
      </c>
      <c r="G1" s="18" t="s">
        <v>12</v>
      </c>
      <c r="H1" s="18" t="s">
        <v>13</v>
      </c>
      <c r="I1" s="18" t="s">
        <v>14</v>
      </c>
      <c r="J1" s="19" t="s">
        <v>20</v>
      </c>
      <c r="K1" s="19" t="s">
        <v>21</v>
      </c>
      <c r="L1" s="19" t="s">
        <v>22</v>
      </c>
      <c r="M1" s="19" t="s">
        <v>23</v>
      </c>
      <c r="N1" s="19" t="s">
        <v>24</v>
      </c>
      <c r="O1" s="19" t="s">
        <v>25</v>
      </c>
      <c r="P1" s="19" t="s">
        <v>26</v>
      </c>
      <c r="Q1" s="20" t="s">
        <v>27</v>
      </c>
      <c r="R1" s="20" t="s">
        <v>28</v>
      </c>
      <c r="S1" s="20" t="s">
        <v>29</v>
      </c>
      <c r="T1" s="20" t="s">
        <v>35</v>
      </c>
      <c r="U1" s="21" t="s">
        <v>30</v>
      </c>
      <c r="V1" s="21" t="s">
        <v>31</v>
      </c>
      <c r="W1" s="21" t="s">
        <v>32</v>
      </c>
      <c r="X1" s="21" t="s">
        <v>33</v>
      </c>
      <c r="Y1" s="21" t="s">
        <v>34</v>
      </c>
      <c r="Z1" s="22"/>
      <c r="AA1" s="12"/>
      <c r="AB1" s="12"/>
      <c r="AC1" s="21"/>
    </row>
    <row r="2" spans="1:29" x14ac:dyDescent="0.2">
      <c r="A2" s="23" t="s">
        <v>49</v>
      </c>
      <c r="C2" s="23" t="s">
        <v>44</v>
      </c>
      <c r="D2" s="24">
        <v>38106</v>
      </c>
      <c r="E2" s="25"/>
      <c r="F2" s="26">
        <v>52700</v>
      </c>
      <c r="G2" s="27">
        <v>1.12E-2</v>
      </c>
      <c r="H2" s="28">
        <v>-8.2000000000000003E-2</v>
      </c>
      <c r="I2" s="29">
        <v>35.53</v>
      </c>
      <c r="J2" s="23">
        <v>43</v>
      </c>
      <c r="K2" s="23">
        <v>24</v>
      </c>
      <c r="L2" s="23">
        <v>67</v>
      </c>
      <c r="M2" s="23">
        <v>34</v>
      </c>
      <c r="N2" s="23">
        <v>66</v>
      </c>
      <c r="O2" s="23">
        <v>37</v>
      </c>
      <c r="P2" s="23">
        <v>49</v>
      </c>
      <c r="Q2" s="27">
        <v>4.3999999999999997E-2</v>
      </c>
      <c r="R2" s="27">
        <v>7.7000000000000002E-3</v>
      </c>
      <c r="S2" s="23">
        <v>37</v>
      </c>
      <c r="T2" s="29">
        <v>29.1</v>
      </c>
      <c r="U2" s="27">
        <v>0</v>
      </c>
      <c r="V2" s="23">
        <v>36</v>
      </c>
      <c r="W2" s="23">
        <v>28</v>
      </c>
      <c r="X2" s="27">
        <v>9.7500000000000003E-2</v>
      </c>
      <c r="Y2" s="23">
        <v>52</v>
      </c>
      <c r="Z2" s="14">
        <f>0.064*K2+0.144*L2+0.165*M2+0.061*O2+0.04*Q2</f>
        <v>19.052760000000003</v>
      </c>
      <c r="AA2" s="30">
        <f>Z2/Z2</f>
        <v>1</v>
      </c>
    </row>
    <row r="3" spans="1:29" x14ac:dyDescent="0.2">
      <c r="A3" s="31" t="s">
        <v>50</v>
      </c>
      <c r="B3" s="31"/>
      <c r="C3" s="32" t="s">
        <v>51</v>
      </c>
      <c r="D3" s="33">
        <v>64112</v>
      </c>
      <c r="E3" s="25"/>
      <c r="F3" s="26">
        <v>371100</v>
      </c>
      <c r="G3" s="27">
        <v>1.21E-2</v>
      </c>
      <c r="H3" s="27">
        <v>5.7000000000000002E-2</v>
      </c>
      <c r="I3" s="29">
        <v>186.63</v>
      </c>
      <c r="J3" s="23">
        <v>87</v>
      </c>
      <c r="K3" s="23">
        <v>64</v>
      </c>
      <c r="L3" s="23">
        <v>66</v>
      </c>
      <c r="M3" s="23">
        <v>48</v>
      </c>
      <c r="N3" s="23">
        <v>62</v>
      </c>
      <c r="O3" s="23">
        <v>50</v>
      </c>
      <c r="P3" s="23">
        <v>45</v>
      </c>
      <c r="Q3" s="27">
        <v>3.2000000000000001E-2</v>
      </c>
      <c r="R3" s="27">
        <v>1.78E-2</v>
      </c>
      <c r="S3" s="23">
        <v>64</v>
      </c>
      <c r="T3" s="29">
        <v>91.44</v>
      </c>
      <c r="U3" s="27">
        <v>4.9500000000000002E-2</v>
      </c>
      <c r="V3" s="23">
        <v>36</v>
      </c>
      <c r="W3" s="23">
        <v>56</v>
      </c>
      <c r="X3" s="27">
        <v>0.1198</v>
      </c>
      <c r="Y3" s="23">
        <v>44</v>
      </c>
      <c r="Z3" s="14"/>
    </row>
    <row r="4" spans="1:29" x14ac:dyDescent="0.2">
      <c r="A4" s="31" t="s">
        <v>52</v>
      </c>
      <c r="B4" s="31"/>
      <c r="C4" s="32" t="s">
        <v>53</v>
      </c>
      <c r="D4" s="33">
        <v>5672</v>
      </c>
      <c r="E4" s="25"/>
      <c r="F4" s="26">
        <v>939300</v>
      </c>
      <c r="G4" s="27">
        <v>1.7100000000000001E-2</v>
      </c>
      <c r="H4" s="27">
        <v>-0.04</v>
      </c>
      <c r="I4" s="29">
        <v>419.64</v>
      </c>
      <c r="J4" s="23">
        <v>84</v>
      </c>
      <c r="K4" s="23">
        <v>68</v>
      </c>
      <c r="L4" s="23">
        <v>45</v>
      </c>
      <c r="M4" s="23">
        <v>81</v>
      </c>
      <c r="N4" s="23">
        <v>66</v>
      </c>
      <c r="O4" s="23">
        <v>46</v>
      </c>
      <c r="P4" s="23">
        <v>47</v>
      </c>
      <c r="Q4" s="27">
        <v>2.5999999999999999E-2</v>
      </c>
      <c r="R4" s="27">
        <v>3.8199999999999998E-2</v>
      </c>
      <c r="S4" s="23">
        <v>72</v>
      </c>
      <c r="T4" s="29">
        <v>83.17</v>
      </c>
      <c r="U4" s="27">
        <v>6.6000000000000003E-2</v>
      </c>
      <c r="V4" s="23">
        <v>46</v>
      </c>
      <c r="W4" s="23">
        <v>70</v>
      </c>
      <c r="X4" s="27">
        <v>0.06</v>
      </c>
      <c r="Y4" s="23">
        <v>34</v>
      </c>
      <c r="Z4" s="14"/>
    </row>
    <row r="5" spans="1:29" x14ac:dyDescent="0.2">
      <c r="A5" s="31" t="s">
        <v>52</v>
      </c>
      <c r="B5" s="31"/>
      <c r="C5" s="32" t="s">
        <v>54</v>
      </c>
      <c r="D5" s="33">
        <v>5405</v>
      </c>
      <c r="E5" s="25"/>
      <c r="F5" s="26">
        <v>546400</v>
      </c>
      <c r="G5" s="27">
        <v>1.6899999999999998E-2</v>
      </c>
      <c r="H5" s="27">
        <v>4.5999999999999999E-2</v>
      </c>
      <c r="I5" s="29">
        <v>329.97</v>
      </c>
      <c r="J5" s="23">
        <v>77</v>
      </c>
      <c r="K5" s="23">
        <v>55</v>
      </c>
      <c r="L5" s="23">
        <v>54</v>
      </c>
      <c r="M5" s="23">
        <v>65</v>
      </c>
      <c r="N5" s="23">
        <v>65</v>
      </c>
      <c r="O5" s="23">
        <v>26</v>
      </c>
      <c r="P5" s="23">
        <v>21</v>
      </c>
      <c r="Q5" s="27">
        <v>1.7000000000000001E-2</v>
      </c>
      <c r="R5" s="27">
        <v>1.66E-2</v>
      </c>
      <c r="S5" s="23">
        <v>63</v>
      </c>
      <c r="T5" s="29">
        <v>89.49</v>
      </c>
      <c r="U5" s="27">
        <v>6.6000000000000003E-2</v>
      </c>
      <c r="V5" s="23">
        <v>44</v>
      </c>
      <c r="W5" s="23">
        <v>66</v>
      </c>
      <c r="X5" s="27">
        <v>7.0000000000000007E-2</v>
      </c>
      <c r="Y5" s="23">
        <v>43</v>
      </c>
      <c r="Z5" s="14"/>
    </row>
    <row r="6" spans="1:29" x14ac:dyDescent="0.2">
      <c r="A6" s="31" t="s">
        <v>55</v>
      </c>
      <c r="B6" s="31"/>
      <c r="C6" s="32" t="s">
        <v>56</v>
      </c>
      <c r="D6" s="33">
        <v>92025</v>
      </c>
      <c r="E6" s="25"/>
      <c r="F6" s="26">
        <v>781100</v>
      </c>
      <c r="G6" s="27">
        <v>6.4999999999999997E-3</v>
      </c>
      <c r="H6" s="27">
        <v>5.0700000000000002E-2</v>
      </c>
      <c r="I6" s="29">
        <v>287.67</v>
      </c>
      <c r="J6" s="23">
        <v>54</v>
      </c>
      <c r="K6" s="23">
        <v>61</v>
      </c>
      <c r="L6" s="23">
        <v>85</v>
      </c>
      <c r="M6" s="23">
        <v>40</v>
      </c>
      <c r="N6" s="23">
        <v>42</v>
      </c>
      <c r="O6" s="23">
        <v>100</v>
      </c>
      <c r="P6" s="23">
        <v>97</v>
      </c>
      <c r="Q6" s="27">
        <v>4.2000000000000003E-2</v>
      </c>
      <c r="R6" s="27">
        <v>-7.3000000000000001E-3</v>
      </c>
      <c r="S6" s="23">
        <v>75</v>
      </c>
      <c r="T6" s="29">
        <v>66.89</v>
      </c>
      <c r="U6" s="27">
        <v>9.2999999999999999E-2</v>
      </c>
      <c r="V6" s="23">
        <v>42</v>
      </c>
      <c r="W6" s="23">
        <v>58</v>
      </c>
      <c r="X6" s="27">
        <v>7.7499999999999999E-2</v>
      </c>
      <c r="Y6" s="23">
        <v>66</v>
      </c>
      <c r="Z6" s="14"/>
    </row>
    <row r="7" spans="1:29" x14ac:dyDescent="0.2">
      <c r="A7" s="31" t="s">
        <v>57</v>
      </c>
      <c r="B7" s="31"/>
      <c r="C7" s="32" t="s">
        <v>58</v>
      </c>
      <c r="D7" s="33">
        <v>94208</v>
      </c>
      <c r="E7" s="25"/>
      <c r="F7" s="26">
        <v>166300</v>
      </c>
      <c r="G7" s="27">
        <v>1.29E-2</v>
      </c>
      <c r="H7" s="27">
        <v>2.5999999999999999E-2</v>
      </c>
      <c r="I7" s="29">
        <v>108.37</v>
      </c>
      <c r="J7" s="23">
        <v>35</v>
      </c>
      <c r="K7" s="23">
        <v>50</v>
      </c>
      <c r="L7" s="23">
        <v>51</v>
      </c>
      <c r="M7" s="23">
        <v>76</v>
      </c>
      <c r="N7" s="23">
        <v>64</v>
      </c>
      <c r="O7" s="23">
        <v>25</v>
      </c>
      <c r="P7" s="23">
        <v>20</v>
      </c>
      <c r="Q7" s="27">
        <v>2.5000000000000001E-2</v>
      </c>
      <c r="R7" s="27">
        <v>1.6199999999999999E-2</v>
      </c>
      <c r="S7" s="23">
        <v>39</v>
      </c>
      <c r="T7" s="29">
        <v>62</v>
      </c>
      <c r="U7" s="27">
        <v>5.7000000000000002E-2</v>
      </c>
      <c r="V7" s="23">
        <v>36</v>
      </c>
      <c r="W7" s="23">
        <v>36</v>
      </c>
      <c r="X7" s="27">
        <v>7.0000000000000007E-2</v>
      </c>
      <c r="Y7" s="23">
        <v>26</v>
      </c>
      <c r="Z7" s="14"/>
    </row>
    <row r="8" spans="1:29" x14ac:dyDescent="0.2">
      <c r="A8" s="31" t="s">
        <v>59</v>
      </c>
      <c r="B8" s="31"/>
      <c r="C8" s="32" t="s">
        <v>60</v>
      </c>
      <c r="D8" s="33">
        <v>83706</v>
      </c>
      <c r="E8" s="25"/>
      <c r="F8" s="26">
        <v>431700</v>
      </c>
      <c r="G8" s="27">
        <v>5.8999999999999999E-3</v>
      </c>
      <c r="H8" s="27">
        <v>-7.0000000000000001E-3</v>
      </c>
      <c r="I8" s="29">
        <v>262.77</v>
      </c>
      <c r="J8" s="23">
        <v>72</v>
      </c>
      <c r="K8" s="23">
        <v>52</v>
      </c>
      <c r="L8" s="23">
        <v>65</v>
      </c>
      <c r="M8" s="23">
        <v>40</v>
      </c>
      <c r="N8" s="23">
        <v>57</v>
      </c>
      <c r="O8" s="23">
        <v>72</v>
      </c>
      <c r="P8" s="23">
        <v>61</v>
      </c>
      <c r="Q8" s="27">
        <v>0.03</v>
      </c>
      <c r="R8" s="27">
        <v>3.7400000000000003E-2</v>
      </c>
      <c r="S8" s="23">
        <v>74</v>
      </c>
      <c r="T8" s="29">
        <v>75.040000000000006</v>
      </c>
      <c r="U8" s="27">
        <v>5.8000000000000003E-2</v>
      </c>
      <c r="V8" s="23">
        <v>30</v>
      </c>
      <c r="W8" s="23">
        <v>33</v>
      </c>
      <c r="X8" s="27">
        <v>0.06</v>
      </c>
      <c r="Y8" s="23">
        <v>45</v>
      </c>
      <c r="Z8" s="14"/>
    </row>
    <row r="9" spans="1:29" x14ac:dyDescent="0.2">
      <c r="A9" s="31" t="s">
        <v>61</v>
      </c>
      <c r="B9" s="31"/>
      <c r="C9" s="32" t="s">
        <v>62</v>
      </c>
      <c r="D9" s="13">
        <v>32805</v>
      </c>
      <c r="E9" s="25"/>
      <c r="F9" s="26">
        <v>245900</v>
      </c>
      <c r="G9" s="27">
        <v>8.2000000000000007E-3</v>
      </c>
      <c r="H9" s="27">
        <v>2.9000000000000001E-2</v>
      </c>
      <c r="I9" s="29">
        <v>173.46</v>
      </c>
      <c r="J9" s="23">
        <v>43</v>
      </c>
      <c r="K9" s="23">
        <v>34</v>
      </c>
      <c r="L9" s="23">
        <v>72</v>
      </c>
      <c r="M9" s="23">
        <v>52</v>
      </c>
      <c r="N9" s="23">
        <v>72</v>
      </c>
      <c r="O9" s="23">
        <v>52</v>
      </c>
      <c r="P9" s="23">
        <v>45</v>
      </c>
      <c r="Q9" s="27">
        <v>2.9000000000000001E-2</v>
      </c>
      <c r="R9" s="27">
        <v>2.2800000000000001E-2</v>
      </c>
      <c r="S9" s="23">
        <v>91</v>
      </c>
      <c r="T9" s="29">
        <v>38.89</v>
      </c>
      <c r="U9" s="27">
        <v>0</v>
      </c>
      <c r="V9" s="23">
        <v>36</v>
      </c>
      <c r="W9" s="23">
        <v>39</v>
      </c>
      <c r="X9" s="27">
        <v>6.5000000000000002E-2</v>
      </c>
      <c r="Y9" s="23">
        <v>75</v>
      </c>
      <c r="Z9" s="14"/>
    </row>
    <row r="10" spans="1:29" x14ac:dyDescent="0.2">
      <c r="A10" s="31" t="s">
        <v>63</v>
      </c>
      <c r="B10" s="31"/>
      <c r="C10" s="32" t="s">
        <v>64</v>
      </c>
      <c r="D10" s="13">
        <v>30305</v>
      </c>
      <c r="E10" s="25"/>
      <c r="F10" s="26">
        <v>633700</v>
      </c>
      <c r="G10" s="27">
        <v>9.1000000000000004E-3</v>
      </c>
      <c r="H10" s="27">
        <v>4.1000000000000002E-2</v>
      </c>
      <c r="I10" s="29">
        <v>208.22</v>
      </c>
      <c r="J10" s="23">
        <v>95</v>
      </c>
      <c r="K10" s="23">
        <v>68</v>
      </c>
      <c r="L10" s="23">
        <v>72</v>
      </c>
      <c r="M10" s="23">
        <v>47</v>
      </c>
      <c r="N10" s="23">
        <v>46</v>
      </c>
      <c r="O10" s="23">
        <v>100</v>
      </c>
      <c r="P10" s="23">
        <v>100</v>
      </c>
      <c r="Q10" s="27">
        <v>3.4000000000000002E-2</v>
      </c>
      <c r="R10" s="27">
        <v>1.24E-2</v>
      </c>
      <c r="S10" s="23">
        <v>84</v>
      </c>
      <c r="T10" s="29">
        <v>103.98</v>
      </c>
      <c r="U10" s="27">
        <v>5.7500000000000002E-2</v>
      </c>
      <c r="V10" s="23">
        <v>40</v>
      </c>
      <c r="W10" s="23">
        <v>59</v>
      </c>
      <c r="X10" s="27">
        <v>8.8999999999999996E-2</v>
      </c>
      <c r="Y10" s="23">
        <v>69</v>
      </c>
      <c r="Z10" s="14"/>
    </row>
    <row r="11" spans="1:29" x14ac:dyDescent="0.2">
      <c r="A11" s="31" t="s">
        <v>65</v>
      </c>
      <c r="B11" s="31"/>
      <c r="C11" s="32" t="s">
        <v>66</v>
      </c>
      <c r="D11" s="13">
        <v>78701</v>
      </c>
      <c r="E11" s="25"/>
      <c r="F11" s="26">
        <v>774900</v>
      </c>
      <c r="G11" s="27">
        <v>1.61E-2</v>
      </c>
      <c r="H11" s="27">
        <v>-0.10299999999999999</v>
      </c>
      <c r="I11" s="29">
        <v>281.8</v>
      </c>
      <c r="J11" s="23">
        <v>94</v>
      </c>
      <c r="K11" s="23">
        <v>58</v>
      </c>
      <c r="L11" s="23">
        <v>69</v>
      </c>
      <c r="M11" s="23">
        <v>43</v>
      </c>
      <c r="N11" s="23">
        <v>50</v>
      </c>
      <c r="O11" s="23">
        <v>100</v>
      </c>
      <c r="P11" s="23">
        <v>100</v>
      </c>
      <c r="Q11" s="27">
        <v>0.03</v>
      </c>
      <c r="R11" s="27">
        <v>1.6500000000000001E-2</v>
      </c>
      <c r="S11" s="23">
        <v>90</v>
      </c>
      <c r="T11" s="29">
        <v>148.05000000000001</v>
      </c>
      <c r="U11" s="27">
        <v>0</v>
      </c>
      <c r="V11" s="23">
        <v>35</v>
      </c>
      <c r="W11" s="23">
        <v>41</v>
      </c>
      <c r="X11" s="27">
        <v>8.2500000000000004E-2</v>
      </c>
      <c r="Y11" s="23">
        <v>60</v>
      </c>
      <c r="Z11" s="14"/>
    </row>
    <row r="12" spans="1:29" x14ac:dyDescent="0.2">
      <c r="A12" s="31" t="s">
        <v>67</v>
      </c>
      <c r="B12" s="31"/>
      <c r="C12" s="32" t="s">
        <v>68</v>
      </c>
      <c r="D12" s="13">
        <v>87505</v>
      </c>
      <c r="E12" s="25"/>
      <c r="F12" s="26">
        <v>558300</v>
      </c>
      <c r="G12" s="27">
        <v>5.1000000000000004E-3</v>
      </c>
      <c r="H12" s="27">
        <v>3.4000000000000002E-2</v>
      </c>
      <c r="I12" s="29">
        <v>308.44</v>
      </c>
      <c r="J12" s="23">
        <v>76</v>
      </c>
      <c r="K12" s="23">
        <v>65</v>
      </c>
      <c r="L12" s="23">
        <v>60</v>
      </c>
      <c r="M12" s="23">
        <v>62</v>
      </c>
      <c r="N12" s="23">
        <v>66</v>
      </c>
      <c r="O12" s="23">
        <v>91</v>
      </c>
      <c r="P12" s="23">
        <v>98</v>
      </c>
      <c r="Q12" s="27">
        <v>3.4000000000000002E-2</v>
      </c>
      <c r="R12" s="23">
        <v>-0.4</v>
      </c>
      <c r="S12" s="23">
        <v>66</v>
      </c>
      <c r="T12" s="29">
        <v>77.27</v>
      </c>
      <c r="U12" s="27">
        <v>4.9000000000000002E-2</v>
      </c>
      <c r="V12" s="23">
        <v>39</v>
      </c>
      <c r="W12" s="23">
        <v>45</v>
      </c>
      <c r="X12" s="27">
        <v>8.3099999999999993E-2</v>
      </c>
      <c r="Y12" s="23">
        <v>38</v>
      </c>
      <c r="Z1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Buffalo</vt:lpstr>
      <vt:lpstr>Memphis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Foster</dc:creator>
  <cp:lastModifiedBy>Russ Perkins</cp:lastModifiedBy>
  <dcterms:created xsi:type="dcterms:W3CDTF">2025-12-16T22:18:30Z</dcterms:created>
  <dcterms:modified xsi:type="dcterms:W3CDTF">2026-03-10T21:06:56Z</dcterms:modified>
</cp:coreProperties>
</file>